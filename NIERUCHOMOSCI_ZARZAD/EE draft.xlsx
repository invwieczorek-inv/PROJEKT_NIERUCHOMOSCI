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<sst xmlns="http://schemas.openxmlformats.org/spreadsheetml/2006/main" uniqueCount="16">
  <si>
    <t>ilość</t>
  </si>
  <si>
    <t>ilość miesięcy</t>
  </si>
  <si>
    <t>cena netto</t>
  </si>
  <si>
    <t>kwota netto</t>
  </si>
  <si>
    <t>VAT 23%</t>
  </si>
  <si>
    <t>brutto</t>
  </si>
  <si>
    <t>Energia czynna całodobowa kWh</t>
  </si>
  <si>
    <t>sieciowa zmienna</t>
  </si>
  <si>
    <t>opłata abonamentowa</t>
  </si>
  <si>
    <t>opłata przejściowa</t>
  </si>
  <si>
    <t>Sieciowa stała</t>
  </si>
  <si>
    <t>opłata jakościowa</t>
  </si>
  <si>
    <t>opłata mocowa</t>
  </si>
  <si>
    <t>opłata OZE</t>
  </si>
  <si>
    <t>opłata kogeneracyjna</t>
  </si>
  <si>
    <t>opłata obsługi naliczeń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</si>
</sst>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0 [$zł-415]"/>
    <numFmt numFmtId="60" formatCode="0.00 [$zł-415]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0" borderId="1" applyNumberFormat="0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59" fontId="0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59" fontId="0" borderId="1" applyNumberFormat="1" applyFont="1" applyFill="0" applyBorder="1" applyAlignment="1" applyProtection="0">
      <alignment vertical="top"/>
    </xf>
    <xf numFmtId="60" fontId="0" borderId="1" applyNumberFormat="1" applyFont="1" applyFill="0" applyBorder="1" applyAlignment="1" applyProtection="0">
      <alignment vertical="top"/>
    </xf>
    <xf numFmtId="59" fontId="3" borderId="1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6d6d6"/>
      <rgbColor rgb="fffff1d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 showGridLines="0" defaultGridColor="1"/>
  </sheetViews>
  <sheetFormatPr defaultColWidth="12" defaultRowHeight="13.9" customHeight="1" outlineLevelRow="0" outlineLevelCol="0"/>
  <cols>
    <col min="1" max="1" width="27.3516" style="1" customWidth="1"/>
    <col min="2" max="7" width="12" style="1" customWidth="1"/>
    <col min="8" max="16384" width="12" style="1" customWidth="1"/>
  </cols>
  <sheetData>
    <row r="1" ht="14.7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</row>
    <row r="2" ht="14.7" customHeight="1">
      <c r="A2" t="s" s="4">
        <v>6</v>
      </c>
      <c r="B2" s="5">
        <v>114.5</v>
      </c>
      <c r="C2" s="6"/>
      <c r="D2" s="5">
        <v>0.51</v>
      </c>
      <c r="E2" s="7" cm="1">
        <f t="array" ref="E2">B2*D2</f>
        <v>58.395</v>
      </c>
      <c r="F2" s="7" cm="1">
        <f t="array" ref="F2">E2*0.23</f>
        <v>13.43085</v>
      </c>
      <c r="G2" s="7" cm="1">
        <f t="array" ref="G2">E2+F2</f>
        <v>71.82585</v>
      </c>
    </row>
    <row r="3" ht="14.7" customHeight="1">
      <c r="A3" t="s" s="3">
        <v>7</v>
      </c>
      <c r="B3" s="8" cm="1">
        <f t="array" ref="B3">B2</f>
        <v>114.5</v>
      </c>
      <c r="C3" s="2"/>
      <c r="D3" s="8">
        <v>0.35</v>
      </c>
      <c r="E3" s="9" cm="1">
        <f t="array" ref="E3">B3*D3</f>
        <v>40.075</v>
      </c>
      <c r="F3" s="9" cm="1">
        <f t="array" ref="F3">E3*0.23</f>
        <v>9.21725</v>
      </c>
      <c r="G3" s="9" cm="1">
        <f t="array" ref="G3">E3+F3</f>
        <v>49.29225</v>
      </c>
    </row>
    <row r="4" ht="14.7" customHeight="1">
      <c r="A4" t="s" s="4">
        <v>8</v>
      </c>
      <c r="B4" s="6"/>
      <c r="C4" s="5">
        <v>5</v>
      </c>
      <c r="D4" s="5">
        <v>0.8</v>
      </c>
      <c r="E4" s="7" cm="1">
        <f t="array" ref="E4">C4*D4</f>
        <v>4</v>
      </c>
      <c r="F4" s="7" cm="1">
        <f t="array" ref="F4">E4*0.23</f>
        <v>0.92</v>
      </c>
      <c r="G4" s="7" cm="1">
        <f t="array" ref="G4">E4+F4</f>
        <v>4.92</v>
      </c>
    </row>
    <row r="5" ht="14.7" customHeight="1">
      <c r="A5" t="s" s="3">
        <v>9</v>
      </c>
      <c r="B5" s="2"/>
      <c r="C5" s="8">
        <v>5</v>
      </c>
      <c r="D5" s="8">
        <v>0.33</v>
      </c>
      <c r="E5" s="9" cm="1">
        <f t="array" ref="E5">C5*D5</f>
        <v>1.65</v>
      </c>
      <c r="F5" s="9" cm="1">
        <f t="array" ref="F5">E5*0.23</f>
        <v>0.3795</v>
      </c>
      <c r="G5" s="9" cm="1">
        <f t="array" ref="G5">E5+F5</f>
        <v>2.0295</v>
      </c>
    </row>
    <row r="6" ht="14.7" customHeight="1">
      <c r="A6" t="s" s="4">
        <v>10</v>
      </c>
      <c r="B6" s="6"/>
      <c r="C6" s="5">
        <v>5</v>
      </c>
      <c r="D6" s="5">
        <v>7.83</v>
      </c>
      <c r="E6" s="7" cm="1">
        <f t="array" ref="E6">C6*D6</f>
        <v>39.15</v>
      </c>
      <c r="F6" s="7" cm="1">
        <f t="array" ref="F6">E6*0.23</f>
        <v>9.0045</v>
      </c>
      <c r="G6" s="7" cm="1">
        <f t="array" ref="G6">E6+F6</f>
        <v>48.1545</v>
      </c>
    </row>
    <row r="7" ht="14.7" customHeight="1">
      <c r="A7" t="s" s="3">
        <v>11</v>
      </c>
      <c r="B7" s="8" cm="1">
        <f t="array" ref="B7">B3</f>
        <v>114.5</v>
      </c>
      <c r="C7" s="2"/>
      <c r="D7" s="8">
        <v>0.332</v>
      </c>
      <c r="E7" s="9" cm="1">
        <f t="array" ref="E7">B7*D7</f>
        <v>38.014</v>
      </c>
      <c r="F7" s="9" cm="1">
        <f t="array" ref="F7">E7*0.23</f>
        <v>8.743220000000001</v>
      </c>
      <c r="G7" s="9" cm="1">
        <f t="array" ref="G7">E7+F7</f>
        <v>46.75722</v>
      </c>
    </row>
    <row r="8" ht="14.7" customHeight="1">
      <c r="A8" t="s" s="3">
        <v>12</v>
      </c>
      <c r="B8" s="2"/>
      <c r="C8" s="8">
        <v>5</v>
      </c>
      <c r="D8" s="8">
        <v>17.18</v>
      </c>
      <c r="E8" s="9" cm="1">
        <f t="array" ref="E8">C8*D8</f>
        <v>85.90000000000001</v>
      </c>
      <c r="F8" s="9" cm="1">
        <f t="array" ref="F8">E8*0.23</f>
        <v>19.757</v>
      </c>
      <c r="G8" s="9" cm="1">
        <f t="array" ref="G8">E8+F8</f>
        <v>105.657</v>
      </c>
    </row>
    <row r="9" ht="14.7" customHeight="1">
      <c r="A9" t="s" s="3">
        <v>13</v>
      </c>
      <c r="B9" s="8" cm="1">
        <f t="array" ref="B9">B2</f>
        <v>114.5</v>
      </c>
      <c r="C9" s="2"/>
      <c r="D9" s="8">
        <v>0.073</v>
      </c>
      <c r="E9" s="9" cm="1">
        <f t="array" ref="E9">B9*D9</f>
        <v>8.358499999999999</v>
      </c>
      <c r="F9" s="9" cm="1">
        <f t="array" ref="F9">E9*0.23</f>
        <v>1.922455</v>
      </c>
      <c r="G9" s="9" cm="1">
        <f t="array" ref="G9">E9+F9</f>
        <v>10.280955</v>
      </c>
    </row>
    <row r="10" ht="14.7" customHeight="1">
      <c r="A10" t="s" s="3">
        <v>14</v>
      </c>
      <c r="B10" s="8" cm="1">
        <f t="array" ref="B10">B2</f>
        <v>114.5</v>
      </c>
      <c r="C10" s="2"/>
      <c r="D10" s="8">
        <v>0.03</v>
      </c>
      <c r="E10" s="9" cm="1">
        <f t="array" ref="E10">B10*D10</f>
        <v>3.435</v>
      </c>
      <c r="F10" s="9" cm="1">
        <f t="array" ref="F10">E10*0.23</f>
        <v>0.79005</v>
      </c>
      <c r="G10" s="9" cm="1">
        <f t="array" ref="G10">E10+F10</f>
        <v>4.22505</v>
      </c>
    </row>
    <row r="11" ht="14.7" customHeight="1">
      <c r="A11" t="s" s="3">
        <v>15</v>
      </c>
      <c r="B11" s="2"/>
      <c r="C11" s="2"/>
      <c r="D11" s="2"/>
      <c r="E11" s="9" cm="1">
        <f t="array" ref="E11">B11*D11</f>
        <v>0</v>
      </c>
      <c r="F11" s="9" cm="1">
        <f t="array" ref="F11">E11*0.23</f>
        <v>0</v>
      </c>
      <c r="G11" s="10">
        <v>15</v>
      </c>
    </row>
    <row r="12" ht="14.7" customHeight="1">
      <c r="A12" s="2"/>
      <c r="B12" s="2"/>
      <c r="C12" s="2"/>
      <c r="D12" s="2"/>
      <c r="E12" s="2"/>
      <c r="F12" s="2"/>
      <c r="G12" s="11" cm="1">
        <f t="array" ref="G12">SUM(G2:G11)</f>
        <v>358.142325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