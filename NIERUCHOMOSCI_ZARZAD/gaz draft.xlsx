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rkusz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<sst xmlns="http://schemas.openxmlformats.org/spreadsheetml/2006/main" uniqueCount="10">
  <si>
    <t>ilość</t>
  </si>
  <si>
    <t>ilość miesięcy</t>
  </si>
  <si>
    <t>cena netto</t>
  </si>
  <si>
    <t>kwota netto</t>
  </si>
  <si>
    <t>VAT 23%</t>
  </si>
  <si>
    <t>brutto</t>
  </si>
  <si>
    <t>Opł dystrybucyjna zmienna</t>
  </si>
  <si>
    <t>Paliwo gazowe</t>
  </si>
  <si>
    <t>Opłata handlowa</t>
  </si>
  <si>
    <t>Opł dystrybucyjna stała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</si>
</sst>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#,##0.00 [$zł-415]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0" borderId="1" applyNumberFormat="0" applyFont="1" applyFill="0" applyBorder="1" applyAlignment="1" applyProtection="0">
      <alignment vertical="top"/>
    </xf>
    <xf numFmtId="49" fontId="0" borderId="1" applyNumberFormat="1" applyFont="1" applyFill="0" applyBorder="1" applyAlignment="1" applyProtection="0">
      <alignment vertical="top"/>
    </xf>
    <xf numFmtId="49" fontId="3" fillId="2" borderId="1" applyNumberFormat="1" applyFont="1" applyFill="1" applyBorder="1" applyAlignment="1" applyProtection="0">
      <alignment vertical="top"/>
    </xf>
    <xf numFmtId="0" fontId="0" fillId="2" borderId="1" applyNumberFormat="1" applyFont="1" applyFill="1" applyBorder="1" applyAlignment="1" applyProtection="0">
      <alignment vertical="top"/>
    </xf>
    <xf numFmtId="0" fontId="0" fillId="2" borderId="1" applyNumberFormat="0" applyFont="1" applyFill="1" applyBorder="1" applyAlignment="1" applyProtection="0">
      <alignment vertical="top"/>
    </xf>
    <xf numFmtId="59" fontId="0" fillId="2" borderId="1" applyNumberFormat="1" applyFont="1" applyFill="1" applyBorder="1" applyAlignment="1" applyProtection="0">
      <alignment vertical="top"/>
    </xf>
    <xf numFmtId="49" fontId="3" borderId="1" applyNumberFormat="1" applyFont="1" applyFill="0" applyBorder="1" applyAlignment="1" applyProtection="0">
      <alignment vertical="top"/>
    </xf>
    <xf numFmtId="0" fontId="0" borderId="1" applyNumberFormat="1" applyFont="1" applyFill="0" applyBorder="1" applyAlignment="1" applyProtection="0">
      <alignment vertical="top"/>
    </xf>
    <xf numFmtId="59" fontId="0" borderId="1" applyNumberFormat="1" applyFont="1" applyFill="0" applyBorder="1" applyAlignment="1" applyProtection="0">
      <alignment vertical="top"/>
    </xf>
    <xf numFmtId="59" fontId="3" borderId="1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6d6d6"/>
      <rgbColor rgb="fffff1d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6"/>
  <sheetViews>
    <sheetView workbookViewId="0" showGridLines="0" defaultGridColor="1"/>
  </sheetViews>
  <sheetFormatPr defaultColWidth="12" defaultRowHeight="13.9" customHeight="1" outlineLevelRow="0" outlineLevelCol="0"/>
  <cols>
    <col min="1" max="1" width="24" style="1" customWidth="1"/>
    <col min="2" max="7" width="12" style="1" customWidth="1"/>
    <col min="8" max="16384" width="12" style="1" customWidth="1"/>
  </cols>
  <sheetData>
    <row r="1" ht="14.7" customHeight="1">
      <c r="A1" s="2"/>
      <c r="B1" t="s" s="3">
        <v>0</v>
      </c>
      <c r="C1" t="s" s="3">
        <v>1</v>
      </c>
      <c r="D1" t="s" s="3">
        <v>2</v>
      </c>
      <c r="E1" t="s" s="3">
        <v>3</v>
      </c>
      <c r="F1" t="s" s="3">
        <v>4</v>
      </c>
      <c r="G1" t="s" s="3">
        <v>5</v>
      </c>
    </row>
    <row r="2" ht="14.7" customHeight="1">
      <c r="A2" t="s" s="4">
        <v>6</v>
      </c>
      <c r="B2" s="5">
        <v>149.54836</v>
      </c>
      <c r="C2" s="6"/>
      <c r="D2" s="5">
        <v>0.2</v>
      </c>
      <c r="E2" s="7" cm="1">
        <f t="array" ref="E2">B2*D2</f>
        <v>29.909672</v>
      </c>
      <c r="F2" s="7" cm="1">
        <f t="array" ref="F2">E2*0.23</f>
        <v>6.87922456</v>
      </c>
      <c r="G2" s="7" cm="1">
        <f t="array" ref="G2">E2+F2</f>
        <v>36.78889656</v>
      </c>
    </row>
    <row r="3" ht="14.7" customHeight="1">
      <c r="A3" t="s" s="8">
        <v>7</v>
      </c>
      <c r="B3" s="9" cm="1">
        <f t="array" ref="B3">B2</f>
        <v>149.54836</v>
      </c>
      <c r="C3" s="2"/>
      <c r="D3" s="9">
        <v>0.33</v>
      </c>
      <c r="E3" s="10" cm="1">
        <f t="array" ref="E3">B3*D3</f>
        <v>49.3509588</v>
      </c>
      <c r="F3" s="10" cm="1">
        <f t="array" ref="F3">E3*0.23</f>
        <v>11.350720524</v>
      </c>
      <c r="G3" s="10" cm="1">
        <f t="array" ref="G3">E3+F3</f>
        <v>60.701679324</v>
      </c>
    </row>
    <row r="4" ht="14.7" customHeight="1">
      <c r="A4" t="s" s="4">
        <v>8</v>
      </c>
      <c r="B4" s="6"/>
      <c r="C4" s="5">
        <v>2</v>
      </c>
      <c r="D4" s="5">
        <v>5.2</v>
      </c>
      <c r="E4" s="7" cm="1">
        <f t="array" ref="E4">C4*D4</f>
        <v>10.4</v>
      </c>
      <c r="F4" s="7" cm="1">
        <f t="array" ref="F4">E4*0.23</f>
        <v>2.392</v>
      </c>
      <c r="G4" s="7" cm="1">
        <f t="array" ref="G4">E4+F4</f>
        <v>12.792</v>
      </c>
    </row>
    <row r="5" ht="14.7" customHeight="1">
      <c r="A5" t="s" s="8">
        <v>9</v>
      </c>
      <c r="B5" s="2"/>
      <c r="C5" s="9">
        <v>2</v>
      </c>
      <c r="D5" s="9">
        <v>7.2</v>
      </c>
      <c r="E5" s="10" cm="1">
        <f t="array" ref="E5">C5*D5</f>
        <v>14.4</v>
      </c>
      <c r="F5" s="10" cm="1">
        <f t="array" ref="F5">E5*0.23</f>
        <v>3.312</v>
      </c>
      <c r="G5" s="10" cm="1">
        <f t="array" ref="G5">E5+F5</f>
        <v>17.712</v>
      </c>
    </row>
    <row r="6" ht="14.7" customHeight="1">
      <c r="A6" s="2"/>
      <c r="B6" s="2"/>
      <c r="C6" s="2"/>
      <c r="D6" s="2"/>
      <c r="E6" s="2"/>
      <c r="F6" s="2"/>
      <c r="G6" s="11" cm="1">
        <f t="array" ref="G6">SUM(G2:G5)</f>
        <v>127.994575884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